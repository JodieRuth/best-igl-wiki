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13_ncr:1_{FD208C57-C502-4151-9EB6-0AF13FC6A0D6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1" l="1"/>
  <c r="J27" i="1"/>
  <c r="Q24" i="1" l="1"/>
  <c r="P24" i="1"/>
  <c r="O24" i="1"/>
  <c r="L24" i="1"/>
  <c r="K24" i="1"/>
  <c r="I24" i="1"/>
  <c r="H24" i="1"/>
  <c r="G24" i="1"/>
  <c r="F24" i="1"/>
  <c r="E24" i="1"/>
  <c r="N23" i="1"/>
  <c r="M23" i="1"/>
  <c r="J23" i="1"/>
  <c r="N22" i="1"/>
  <c r="N24" i="1" s="1"/>
  <c r="M22" i="1"/>
  <c r="J22" i="1"/>
  <c r="Q20" i="1"/>
  <c r="P20" i="1"/>
  <c r="O20" i="1"/>
  <c r="L20" i="1"/>
  <c r="K20" i="1"/>
  <c r="I20" i="1"/>
  <c r="H20" i="1"/>
  <c r="G20" i="1"/>
  <c r="F20" i="1"/>
  <c r="E20" i="1"/>
  <c r="N19" i="1"/>
  <c r="M19" i="1"/>
  <c r="J19" i="1"/>
  <c r="N18" i="1"/>
  <c r="N20" i="1" s="1"/>
  <c r="M18" i="1"/>
  <c r="M20" i="1" s="1"/>
  <c r="J18" i="1"/>
  <c r="J20" i="1" s="1"/>
  <c r="Q16" i="1"/>
  <c r="P16" i="1"/>
  <c r="O16" i="1"/>
  <c r="L16" i="1"/>
  <c r="K16" i="1"/>
  <c r="I16" i="1"/>
  <c r="H16" i="1"/>
  <c r="G16" i="1"/>
  <c r="F16" i="1"/>
  <c r="E16" i="1"/>
  <c r="N15" i="1"/>
  <c r="M15" i="1"/>
  <c r="J15" i="1"/>
  <c r="N14" i="1"/>
  <c r="N16" i="1" s="1"/>
  <c r="M14" i="1"/>
  <c r="J14" i="1"/>
  <c r="J16" i="1" s="1"/>
  <c r="J6" i="1"/>
  <c r="J26" i="1"/>
  <c r="J28" i="1" s="1"/>
  <c r="M26" i="1"/>
  <c r="M28" i="1" s="1"/>
  <c r="N26" i="1"/>
  <c r="N28" i="1" s="1"/>
  <c r="E28" i="1"/>
  <c r="F28" i="1"/>
  <c r="G28" i="1"/>
  <c r="H28" i="1"/>
  <c r="I28" i="1"/>
  <c r="K28" i="1"/>
  <c r="L28" i="1"/>
  <c r="O28" i="1"/>
  <c r="P28" i="1"/>
  <c r="Q28" i="1"/>
  <c r="L12" i="1"/>
  <c r="L8" i="1"/>
  <c r="I12" i="1"/>
  <c r="I8" i="1"/>
  <c r="I4" i="1"/>
  <c r="N7" i="1"/>
  <c r="N6" i="1"/>
  <c r="N8" i="1" s="1"/>
  <c r="N10" i="1"/>
  <c r="N11" i="1"/>
  <c r="N3" i="1"/>
  <c r="N2" i="1"/>
  <c r="N4" i="1" s="1"/>
  <c r="F12" i="1"/>
  <c r="F8" i="1"/>
  <c r="F4" i="1"/>
  <c r="G4" i="1"/>
  <c r="G8" i="1"/>
  <c r="G12" i="1"/>
  <c r="Q12" i="1"/>
  <c r="P12" i="1"/>
  <c r="O12" i="1"/>
  <c r="K12" i="1"/>
  <c r="H12" i="1"/>
  <c r="E12" i="1"/>
  <c r="M11" i="1"/>
  <c r="J11" i="1"/>
  <c r="M10" i="1"/>
  <c r="J10" i="1"/>
  <c r="Q8" i="1"/>
  <c r="P8" i="1"/>
  <c r="O8" i="1"/>
  <c r="K8" i="1"/>
  <c r="H8" i="1"/>
  <c r="E8" i="1"/>
  <c r="M7" i="1"/>
  <c r="J7" i="1"/>
  <c r="M6" i="1"/>
  <c r="J3" i="1"/>
  <c r="M3" i="1"/>
  <c r="M2" i="1"/>
  <c r="E4" i="1"/>
  <c r="J2" i="1"/>
  <c r="H4" i="1"/>
  <c r="K4" i="1"/>
  <c r="L4" i="1"/>
  <c r="O4" i="1"/>
  <c r="P4" i="1"/>
  <c r="Q4" i="1"/>
  <c r="M24" i="1" l="1"/>
  <c r="J24" i="1"/>
  <c r="M16" i="1"/>
  <c r="N12" i="1"/>
  <c r="M8" i="1"/>
  <c r="M12" i="1"/>
  <c r="J12" i="1"/>
  <c r="M4" i="1"/>
  <c r="J4" i="1"/>
  <c r="J8" i="1"/>
</calcChain>
</file>

<file path=xl/sharedStrings.xml><?xml version="1.0" encoding="utf-8"?>
<sst xmlns="http://schemas.openxmlformats.org/spreadsheetml/2006/main" count="133" uniqueCount="26">
  <si>
    <t>选手</t>
    <phoneticPr fontId="1" type="noConversion"/>
  </si>
  <si>
    <t>比赛</t>
    <phoneticPr fontId="1" type="noConversion"/>
  </si>
  <si>
    <t>Y5-Split1</t>
    <phoneticPr fontId="1" type="noConversion"/>
  </si>
  <si>
    <t>Y5-Split2</t>
    <phoneticPr fontId="1" type="noConversion"/>
  </si>
  <si>
    <t>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</si>
  <si>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</si>
  <si>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</si>
  <si>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</si>
  <si>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</si>
  <si>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</si>
  <si>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</si>
  <si>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</si>
  <si>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</si>
  <si>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</si>
  <si>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</si>
  <si>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</si>
  <si>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</si>
  <si>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</si>
  <si>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Y5-S1 Playoffs/EWC</t>
    <phoneticPr fontId="1" type="noConversion"/>
  </si>
  <si>
    <t>Y4-S2 Playoffs</t>
    <phoneticPr fontId="1" type="noConversion"/>
  </si>
  <si>
    <t>Y4-Split2</t>
    <phoneticPr fontId="1" type="noConversion"/>
  </si>
  <si>
    <t>Y4-Split1</t>
    <phoneticPr fontId="1" type="noConversion"/>
  </si>
  <si>
    <t>Crazycong</t>
    <phoneticPr fontId="1" type="noConversion"/>
  </si>
  <si>
    <t>Crazycong-3mz</t>
    <phoneticPr fontId="1" type="noConversion"/>
  </si>
  <si>
    <t>Y3-Split2</t>
    <phoneticPr fontId="1" type="noConversion"/>
  </si>
  <si>
    <t>3mz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</si>
</sst>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S9" sqref="S9"/>
    </sheetView>
  </sheetViews>
  <sheetFormatPr defaultRowHeight="13.95" x14ac:dyDescent="0.25"/>
  <cols>
    <col min="4" max="4" width="17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0" t="s">
        <v>1</v>
      </c>
      <c r="B1" s="10"/>
      <c r="C1" s="10"/>
      <c r="D1" s="1" t="s">
        <v>0</v>
      </c>
      <c r="E1" s="1" t="s">
        <v>5</v>
      </c>
      <c r="F1" s="1" t="s">
        <v>16</v>
      </c>
      <c r="G1" s="1" t="s">
        <v>6</v>
      </c>
      <c r="H1" s="1" t="s">
        <v>7</v>
      </c>
      <c r="I1" s="1" t="s">
        <v>14</v>
      </c>
      <c r="J1" s="1" t="s">
        <v>15</v>
      </c>
      <c r="K1" s="1" t="s">
        <v>8</v>
      </c>
      <c r="L1" s="1" t="s">
        <v>9</v>
      </c>
      <c r="M1" s="1" t="s">
        <v>10</v>
      </c>
      <c r="N1" s="1" t="s">
        <v>17</v>
      </c>
      <c r="O1" s="1" t="s">
        <v>12</v>
      </c>
      <c r="P1" s="1" t="s">
        <v>11</v>
      </c>
      <c r="Q1" s="1" t="s">
        <v>13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10" t="s">
        <v>3</v>
      </c>
      <c r="B2" s="10"/>
      <c r="C2" s="10"/>
      <c r="D2" s="1" t="s">
        <v>22</v>
      </c>
      <c r="E2" s="1">
        <v>2</v>
      </c>
      <c r="F2" s="1">
        <v>44</v>
      </c>
      <c r="G2" s="1">
        <v>42</v>
      </c>
      <c r="H2" s="1">
        <v>72</v>
      </c>
      <c r="I2" s="1">
        <v>39</v>
      </c>
      <c r="J2" s="3">
        <f>(G2+H2)/I2</f>
        <v>2.9230769230769229</v>
      </c>
      <c r="K2" s="1">
        <v>36098</v>
      </c>
      <c r="L2" s="1">
        <v>33643</v>
      </c>
      <c r="M2" s="1">
        <f>K2-L2</f>
        <v>2455</v>
      </c>
      <c r="N2" s="8">
        <f>K2/F2</f>
        <v>820.40909090909088</v>
      </c>
      <c r="O2" s="6">
        <v>0.72699999999999998</v>
      </c>
      <c r="P2" s="6">
        <v>0.71899999999999997</v>
      </c>
      <c r="Q2" s="6">
        <v>0.34799999999999998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10"/>
      <c r="B3" s="10"/>
      <c r="C3" s="10"/>
      <c r="D3" s="1" t="s">
        <v>4</v>
      </c>
      <c r="E3" s="1">
        <v>13</v>
      </c>
      <c r="F3" s="1">
        <v>44</v>
      </c>
      <c r="G3" s="1">
        <v>28</v>
      </c>
      <c r="H3" s="1">
        <v>50</v>
      </c>
      <c r="I3" s="1">
        <v>42</v>
      </c>
      <c r="J3" s="3">
        <f>(G3+H3)/I3</f>
        <v>1.8571428571428572</v>
      </c>
      <c r="K3" s="1">
        <v>24705</v>
      </c>
      <c r="L3" s="1">
        <v>29841</v>
      </c>
      <c r="M3" s="1">
        <f>K3-L3</f>
        <v>-5136</v>
      </c>
      <c r="N3" s="8">
        <f>K3/F3</f>
        <v>561.47727272727275</v>
      </c>
      <c r="O3" s="6">
        <v>0.61399999999999999</v>
      </c>
      <c r="P3" s="6">
        <v>0.55600000000000005</v>
      </c>
      <c r="Q3" s="6">
        <v>0.2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10"/>
      <c r="B4" s="10"/>
      <c r="C4" s="10"/>
      <c r="D4" s="1" t="s">
        <v>23</v>
      </c>
      <c r="E4" s="2">
        <f>E3-E2</f>
        <v>11</v>
      </c>
      <c r="F4" s="2">
        <f t="shared" ref="F4:Q4" si="0">F2-F3</f>
        <v>0</v>
      </c>
      <c r="G4" s="2">
        <f t="shared" si="0"/>
        <v>14</v>
      </c>
      <c r="H4" s="2">
        <f t="shared" si="0"/>
        <v>22</v>
      </c>
      <c r="I4" s="5">
        <f t="shared" si="0"/>
        <v>-3</v>
      </c>
      <c r="J4" s="4">
        <f>J2-J3</f>
        <v>1.0659340659340657</v>
      </c>
      <c r="K4" s="2">
        <f t="shared" si="0"/>
        <v>11393</v>
      </c>
      <c r="L4" s="5">
        <f t="shared" si="0"/>
        <v>3802</v>
      </c>
      <c r="M4" s="2">
        <f t="shared" si="0"/>
        <v>7591</v>
      </c>
      <c r="N4" s="4">
        <f>N2-N3</f>
        <v>258.93181818181813</v>
      </c>
      <c r="O4" s="7">
        <f t="shared" si="0"/>
        <v>0.11299999999999999</v>
      </c>
      <c r="P4" s="7">
        <f t="shared" si="0"/>
        <v>0.16299999999999992</v>
      </c>
      <c r="Q4" s="7">
        <f t="shared" si="0"/>
        <v>0.14799999999999996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10" t="s">
        <v>1</v>
      </c>
      <c r="B5" s="10"/>
      <c r="C5" s="10"/>
      <c r="D5" s="1" t="s">
        <v>0</v>
      </c>
      <c r="E5" s="1" t="s">
        <v>5</v>
      </c>
      <c r="F5" s="1" t="s">
        <v>16</v>
      </c>
      <c r="G5" s="1" t="s">
        <v>6</v>
      </c>
      <c r="H5" s="1" t="s">
        <v>7</v>
      </c>
      <c r="I5" s="1" t="s">
        <v>14</v>
      </c>
      <c r="J5" s="1" t="s">
        <v>15</v>
      </c>
      <c r="K5" s="1" t="s">
        <v>8</v>
      </c>
      <c r="L5" s="1" t="s">
        <v>9</v>
      </c>
      <c r="M5" s="1" t="s">
        <v>10</v>
      </c>
      <c r="N5" s="1" t="s">
        <v>17</v>
      </c>
      <c r="O5" s="1" t="s">
        <v>12</v>
      </c>
      <c r="P5" s="1" t="s">
        <v>11</v>
      </c>
      <c r="Q5" s="1" t="s">
        <v>13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10" t="s">
        <v>18</v>
      </c>
      <c r="B6" s="10"/>
      <c r="C6" s="10"/>
      <c r="D6" s="9" t="s">
        <v>22</v>
      </c>
      <c r="E6" s="1">
        <v>5</v>
      </c>
      <c r="F6" s="1">
        <v>19</v>
      </c>
      <c r="G6" s="1">
        <v>12</v>
      </c>
      <c r="H6" s="1">
        <v>22</v>
      </c>
      <c r="I6" s="1">
        <v>18</v>
      </c>
      <c r="J6" s="3">
        <f>(G6+H6)/I6</f>
        <v>1.8888888888888888</v>
      </c>
      <c r="K6" s="1">
        <v>8042</v>
      </c>
      <c r="L6" s="1">
        <v>11394</v>
      </c>
      <c r="M6" s="1">
        <f>K6-L6</f>
        <v>-3352</v>
      </c>
      <c r="N6" s="8">
        <f>K6/F6</f>
        <v>423.26315789473682</v>
      </c>
      <c r="O6" s="6">
        <v>0.63200000000000001</v>
      </c>
      <c r="P6" s="6">
        <v>0.83299999999999996</v>
      </c>
      <c r="Q6" s="6">
        <v>0.1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10"/>
      <c r="B7" s="10"/>
      <c r="C7" s="10"/>
      <c r="D7" s="9" t="s">
        <v>4</v>
      </c>
      <c r="E7" s="1">
        <v>37</v>
      </c>
      <c r="F7" s="1">
        <v>10</v>
      </c>
      <c r="G7" s="1">
        <v>3</v>
      </c>
      <c r="H7" s="1">
        <v>8</v>
      </c>
      <c r="I7" s="1">
        <v>10</v>
      </c>
      <c r="J7" s="3">
        <f>(G7+H7)/I7</f>
        <v>1.1000000000000001</v>
      </c>
      <c r="K7" s="1">
        <v>2714</v>
      </c>
      <c r="L7" s="1">
        <v>3747</v>
      </c>
      <c r="M7" s="1">
        <f>K7-L7</f>
        <v>-1033</v>
      </c>
      <c r="N7" s="8">
        <f>K7/F7</f>
        <v>271.39999999999998</v>
      </c>
      <c r="O7" s="6">
        <v>0.3</v>
      </c>
      <c r="P7" s="6">
        <v>1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10"/>
      <c r="B8" s="10"/>
      <c r="C8" s="10"/>
      <c r="D8" s="9" t="s">
        <v>23</v>
      </c>
      <c r="E8" s="2">
        <f>E7-E6</f>
        <v>32</v>
      </c>
      <c r="F8" s="2">
        <f t="shared" ref="F8:G8" si="1">F6-F7</f>
        <v>9</v>
      </c>
      <c r="G8" s="2">
        <f t="shared" si="1"/>
        <v>9</v>
      </c>
      <c r="H8" s="2">
        <f t="shared" ref="H8:I8" si="2">H6-H7</f>
        <v>14</v>
      </c>
      <c r="I8" s="5">
        <f t="shared" si="2"/>
        <v>8</v>
      </c>
      <c r="J8" s="4">
        <f>J6-J7</f>
        <v>0.78888888888888875</v>
      </c>
      <c r="K8" s="2">
        <f t="shared" ref="K8:L8" si="3">K6-K7</f>
        <v>5328</v>
      </c>
      <c r="L8" s="5">
        <f t="shared" si="3"/>
        <v>7647</v>
      </c>
      <c r="M8" s="2">
        <f t="shared" ref="M8:N8" si="4">M6-M7</f>
        <v>-2319</v>
      </c>
      <c r="N8" s="4">
        <f t="shared" si="4"/>
        <v>151.86315789473684</v>
      </c>
      <c r="O8" s="7">
        <f t="shared" ref="O8" si="5">O6-O7</f>
        <v>0.33200000000000002</v>
      </c>
      <c r="P8" s="7">
        <f t="shared" ref="P8" si="6">P6-P7</f>
        <v>-0.16700000000000004</v>
      </c>
      <c r="Q8" s="7">
        <f t="shared" ref="Q8" si="7">Q6-Q7</f>
        <v>0.1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10" t="s">
        <v>1</v>
      </c>
      <c r="B9" s="10"/>
      <c r="C9" s="10"/>
      <c r="D9" s="1" t="s">
        <v>0</v>
      </c>
      <c r="E9" s="1" t="s">
        <v>5</v>
      </c>
      <c r="F9" s="1" t="s">
        <v>16</v>
      </c>
      <c r="G9" s="1" t="s">
        <v>6</v>
      </c>
      <c r="H9" s="1" t="s">
        <v>7</v>
      </c>
      <c r="I9" s="1" t="s">
        <v>14</v>
      </c>
      <c r="J9" s="1" t="s">
        <v>15</v>
      </c>
      <c r="K9" s="1" t="s">
        <v>8</v>
      </c>
      <c r="L9" s="1" t="s">
        <v>9</v>
      </c>
      <c r="M9" s="1" t="s">
        <v>10</v>
      </c>
      <c r="N9" s="1" t="s">
        <v>17</v>
      </c>
      <c r="O9" s="1" t="s">
        <v>12</v>
      </c>
      <c r="P9" s="1" t="s">
        <v>11</v>
      </c>
      <c r="Q9" s="1" t="s">
        <v>13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0" t="s">
        <v>2</v>
      </c>
      <c r="B10" s="10"/>
      <c r="C10" s="10"/>
      <c r="D10" s="9" t="s">
        <v>22</v>
      </c>
      <c r="E10" s="1">
        <v>6</v>
      </c>
      <c r="F10" s="1">
        <v>43</v>
      </c>
      <c r="G10" s="1">
        <v>23</v>
      </c>
      <c r="H10" s="1">
        <v>82</v>
      </c>
      <c r="I10" s="1">
        <v>45</v>
      </c>
      <c r="J10" s="3">
        <f>(G10+H10)/I10</f>
        <v>2.3333333333333335</v>
      </c>
      <c r="K10" s="1">
        <v>16963</v>
      </c>
      <c r="L10" s="1">
        <v>20759</v>
      </c>
      <c r="M10" s="1">
        <f>K10-L10</f>
        <v>-3796</v>
      </c>
      <c r="N10" s="8">
        <f t="shared" ref="N10:N11" si="8">K10/F10</f>
        <v>394.48837209302326</v>
      </c>
      <c r="O10" s="6">
        <v>0.442</v>
      </c>
      <c r="P10" s="6">
        <v>0.52600000000000002</v>
      </c>
      <c r="Q10" s="6">
        <v>0.3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0"/>
      <c r="B11" s="10"/>
      <c r="C11" s="10"/>
      <c r="D11" s="9" t="s">
        <v>4</v>
      </c>
      <c r="E11" s="1">
        <v>8</v>
      </c>
      <c r="F11" s="1">
        <v>43</v>
      </c>
      <c r="G11" s="1">
        <v>26</v>
      </c>
      <c r="H11" s="1">
        <v>56</v>
      </c>
      <c r="I11" s="1">
        <v>44</v>
      </c>
      <c r="J11" s="3">
        <f>(G11+H11)/I11</f>
        <v>1.8636363636363635</v>
      </c>
      <c r="K11" s="1">
        <v>24004</v>
      </c>
      <c r="L11" s="1">
        <v>30199</v>
      </c>
      <c r="M11" s="1">
        <f>K11-L11</f>
        <v>-6195</v>
      </c>
      <c r="N11" s="8">
        <f t="shared" si="8"/>
        <v>558.23255813953483</v>
      </c>
      <c r="O11" s="6">
        <v>0.60499999999999998</v>
      </c>
      <c r="P11" s="6">
        <v>0.53800000000000003</v>
      </c>
      <c r="Q11" s="6">
        <v>0.214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0"/>
      <c r="B12" s="10"/>
      <c r="C12" s="10"/>
      <c r="D12" s="9" t="s">
        <v>23</v>
      </c>
      <c r="E12" s="2">
        <f>E11-E10</f>
        <v>2</v>
      </c>
      <c r="F12" s="2">
        <f t="shared" ref="F12:G12" si="9">F10-F11</f>
        <v>0</v>
      </c>
      <c r="G12" s="2">
        <f t="shared" si="9"/>
        <v>-3</v>
      </c>
      <c r="H12" s="2">
        <f t="shared" ref="H12:I12" si="10">H10-H11</f>
        <v>26</v>
      </c>
      <c r="I12" s="5">
        <f t="shared" si="10"/>
        <v>1</v>
      </c>
      <c r="J12" s="4">
        <f>J10-J11</f>
        <v>0.46969696969696995</v>
      </c>
      <c r="K12" s="2">
        <f t="shared" ref="K12:L12" si="11">K10-K11</f>
        <v>-7041</v>
      </c>
      <c r="L12" s="5">
        <f t="shared" si="11"/>
        <v>-9440</v>
      </c>
      <c r="M12" s="2">
        <f t="shared" ref="M12:N12" si="12">M10-M11</f>
        <v>2399</v>
      </c>
      <c r="N12" s="4">
        <f t="shared" si="12"/>
        <v>-163.74418604651157</v>
      </c>
      <c r="O12" s="7">
        <f t="shared" ref="O12" si="13">O10-O11</f>
        <v>-0.16299999999999998</v>
      </c>
      <c r="P12" s="7">
        <f t="shared" ref="P12" si="14">P10-P11</f>
        <v>-1.2000000000000011E-2</v>
      </c>
      <c r="Q12" s="7">
        <f t="shared" ref="Q12" si="15">Q10-Q11</f>
        <v>8.5999999999999993E-2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0" t="s">
        <v>1</v>
      </c>
      <c r="B13" s="10"/>
      <c r="C13" s="10"/>
      <c r="D13" s="9" t="s">
        <v>0</v>
      </c>
      <c r="E13" s="9" t="s">
        <v>5</v>
      </c>
      <c r="F13" s="9" t="s">
        <v>16</v>
      </c>
      <c r="G13" s="9" t="s">
        <v>6</v>
      </c>
      <c r="H13" s="9" t="s">
        <v>7</v>
      </c>
      <c r="I13" s="9" t="s">
        <v>14</v>
      </c>
      <c r="J13" s="9" t="s">
        <v>15</v>
      </c>
      <c r="K13" s="9" t="s">
        <v>8</v>
      </c>
      <c r="L13" s="9" t="s">
        <v>9</v>
      </c>
      <c r="M13" s="9" t="s">
        <v>10</v>
      </c>
      <c r="N13" s="9" t="s">
        <v>17</v>
      </c>
      <c r="O13" s="9" t="s">
        <v>12</v>
      </c>
      <c r="P13" s="9" t="s">
        <v>11</v>
      </c>
      <c r="Q13" s="9" t="s">
        <v>13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10" t="s">
        <v>19</v>
      </c>
      <c r="B14" s="10"/>
      <c r="C14" s="10"/>
      <c r="D14" s="9" t="s">
        <v>22</v>
      </c>
      <c r="E14" s="9">
        <v>30</v>
      </c>
      <c r="F14" s="9">
        <v>30</v>
      </c>
      <c r="G14" s="9">
        <v>10</v>
      </c>
      <c r="H14" s="9">
        <v>33</v>
      </c>
      <c r="I14" s="9">
        <v>28</v>
      </c>
      <c r="J14" s="3">
        <f>(G14+H14)/I14</f>
        <v>1.5357142857142858</v>
      </c>
      <c r="K14" s="9">
        <v>9439</v>
      </c>
      <c r="L14" s="9">
        <v>10450</v>
      </c>
      <c r="M14" s="9">
        <f>K14-L14</f>
        <v>-1011</v>
      </c>
      <c r="N14" s="8">
        <f t="shared" ref="N14:N15" si="16">K14/F14</f>
        <v>314.63333333333333</v>
      </c>
      <c r="O14" s="6">
        <v>0.26740000000000003</v>
      </c>
      <c r="P14" s="6">
        <v>0.125</v>
      </c>
      <c r="Q14" s="6">
        <v>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10"/>
      <c r="B15" s="10"/>
      <c r="C15" s="10"/>
      <c r="D15" s="9" t="s">
        <v>4</v>
      </c>
      <c r="E15" s="9">
        <v>13</v>
      </c>
      <c r="F15" s="9">
        <v>40</v>
      </c>
      <c r="G15" s="9">
        <v>12</v>
      </c>
      <c r="H15" s="9">
        <v>61</v>
      </c>
      <c r="I15" s="9">
        <v>39</v>
      </c>
      <c r="J15" s="3">
        <f>(G15+H15)/I15</f>
        <v>1.8717948717948718</v>
      </c>
      <c r="K15" s="9">
        <v>17165</v>
      </c>
      <c r="L15" s="9">
        <v>16406</v>
      </c>
      <c r="M15" s="9">
        <f>K15-L15</f>
        <v>759</v>
      </c>
      <c r="N15" s="8">
        <f t="shared" si="16"/>
        <v>429.125</v>
      </c>
      <c r="O15" s="6">
        <v>0.52500000000000002</v>
      </c>
      <c r="P15" s="6">
        <v>0.42899999999999999</v>
      </c>
      <c r="Q15" s="6">
        <v>0.111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10"/>
      <c r="B16" s="10"/>
      <c r="C16" s="10"/>
      <c r="D16" s="9" t="s">
        <v>23</v>
      </c>
      <c r="E16" s="2">
        <f>E15-E14</f>
        <v>-17</v>
      </c>
      <c r="F16" s="2">
        <f t="shared" ref="F16:I16" si="17">F14-F15</f>
        <v>-10</v>
      </c>
      <c r="G16" s="2">
        <f t="shared" si="17"/>
        <v>-2</v>
      </c>
      <c r="H16" s="2">
        <f t="shared" si="17"/>
        <v>-28</v>
      </c>
      <c r="I16" s="5">
        <f t="shared" si="17"/>
        <v>-11</v>
      </c>
      <c r="J16" s="4">
        <f>J14-J15</f>
        <v>-0.336080586080586</v>
      </c>
      <c r="K16" s="2">
        <f t="shared" ref="K16:Q16" si="18">K14-K15</f>
        <v>-7726</v>
      </c>
      <c r="L16" s="5">
        <f t="shared" si="18"/>
        <v>-5956</v>
      </c>
      <c r="M16" s="2">
        <f t="shared" si="18"/>
        <v>-1770</v>
      </c>
      <c r="N16" s="4">
        <f t="shared" si="18"/>
        <v>-114.49166666666667</v>
      </c>
      <c r="O16" s="7">
        <f t="shared" si="18"/>
        <v>-0.2576</v>
      </c>
      <c r="P16" s="7">
        <f t="shared" si="18"/>
        <v>-0.30399999999999999</v>
      </c>
      <c r="Q16" s="7">
        <f t="shared" si="18"/>
        <v>0.88900000000000001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10" t="s">
        <v>1</v>
      </c>
      <c r="B17" s="10"/>
      <c r="C17" s="10"/>
      <c r="D17" s="9" t="s">
        <v>0</v>
      </c>
      <c r="E17" s="9" t="s">
        <v>5</v>
      </c>
      <c r="F17" s="9" t="s">
        <v>16</v>
      </c>
      <c r="G17" s="9" t="s">
        <v>6</v>
      </c>
      <c r="H17" s="9" t="s">
        <v>7</v>
      </c>
      <c r="I17" s="9" t="s">
        <v>14</v>
      </c>
      <c r="J17" s="9" t="s">
        <v>15</v>
      </c>
      <c r="K17" s="9" t="s">
        <v>8</v>
      </c>
      <c r="L17" s="9" t="s">
        <v>9</v>
      </c>
      <c r="M17" s="9" t="s">
        <v>10</v>
      </c>
      <c r="N17" s="9" t="s">
        <v>17</v>
      </c>
      <c r="O17" s="9" t="s">
        <v>12</v>
      </c>
      <c r="P17" s="9" t="s">
        <v>11</v>
      </c>
      <c r="Q17" s="9" t="s">
        <v>13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0" t="s">
        <v>20</v>
      </c>
      <c r="B18" s="10"/>
      <c r="C18" s="10"/>
      <c r="D18" s="9" t="s">
        <v>22</v>
      </c>
      <c r="E18" s="9">
        <v>5</v>
      </c>
      <c r="F18" s="9">
        <v>43</v>
      </c>
      <c r="G18" s="9">
        <v>54</v>
      </c>
      <c r="H18" s="9">
        <v>39</v>
      </c>
      <c r="I18" s="9">
        <v>39</v>
      </c>
      <c r="J18" s="3">
        <f>(G18+H18)/I18</f>
        <v>2.3846153846153846</v>
      </c>
      <c r="K18" s="9">
        <v>25730</v>
      </c>
      <c r="L18" s="9">
        <v>24509</v>
      </c>
      <c r="M18" s="9">
        <f>K18-L18</f>
        <v>1221</v>
      </c>
      <c r="N18" s="8">
        <f t="shared" ref="N18:N19" si="19">K18/F18</f>
        <v>598.37209302325584</v>
      </c>
      <c r="O18" s="6">
        <v>0.72099999999999997</v>
      </c>
      <c r="P18" s="6">
        <v>0.58099999999999996</v>
      </c>
      <c r="Q18" s="6">
        <v>0.27800000000000002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0"/>
      <c r="B19" s="10"/>
      <c r="C19" s="10"/>
      <c r="D19" s="9" t="s">
        <v>4</v>
      </c>
      <c r="E19" s="9">
        <v>7</v>
      </c>
      <c r="F19" s="9">
        <v>41</v>
      </c>
      <c r="G19" s="9">
        <v>38</v>
      </c>
      <c r="H19" s="9">
        <v>43</v>
      </c>
      <c r="I19" s="9">
        <v>41</v>
      </c>
      <c r="J19" s="3">
        <f>(G19+H19)/I19</f>
        <v>1.975609756097561</v>
      </c>
      <c r="K19" s="9">
        <v>23150</v>
      </c>
      <c r="L19" s="9">
        <v>24123</v>
      </c>
      <c r="M19" s="9">
        <f>K19-L19</f>
        <v>-973</v>
      </c>
      <c r="N19" s="8">
        <f t="shared" si="19"/>
        <v>564.63414634146341</v>
      </c>
      <c r="O19" s="6">
        <v>0.6</v>
      </c>
      <c r="P19" s="6">
        <v>0.54200000000000004</v>
      </c>
      <c r="Q19" s="6">
        <v>0.154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0"/>
      <c r="B20" s="10"/>
      <c r="C20" s="10"/>
      <c r="D20" s="9" t="s">
        <v>23</v>
      </c>
      <c r="E20" s="2">
        <f>E19-E18</f>
        <v>2</v>
      </c>
      <c r="F20" s="2">
        <f t="shared" ref="F20:I20" si="20">F18-F19</f>
        <v>2</v>
      </c>
      <c r="G20" s="2">
        <f t="shared" si="20"/>
        <v>16</v>
      </c>
      <c r="H20" s="2">
        <f t="shared" si="20"/>
        <v>-4</v>
      </c>
      <c r="I20" s="5">
        <f t="shared" si="20"/>
        <v>-2</v>
      </c>
      <c r="J20" s="4">
        <f>J18-J19</f>
        <v>0.40900562851782363</v>
      </c>
      <c r="K20" s="2">
        <f t="shared" ref="K20:Q20" si="21">K18-K19</f>
        <v>2580</v>
      </c>
      <c r="L20" s="5">
        <f t="shared" si="21"/>
        <v>386</v>
      </c>
      <c r="M20" s="2">
        <f t="shared" si="21"/>
        <v>2194</v>
      </c>
      <c r="N20" s="4">
        <f t="shared" si="21"/>
        <v>33.737946681792437</v>
      </c>
      <c r="O20" s="7">
        <f t="shared" si="21"/>
        <v>0.121</v>
      </c>
      <c r="P20" s="7">
        <f t="shared" si="21"/>
        <v>3.8999999999999924E-2</v>
      </c>
      <c r="Q20" s="7">
        <f t="shared" si="21"/>
        <v>0.12400000000000003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0" t="s">
        <v>1</v>
      </c>
      <c r="B21" s="10"/>
      <c r="C21" s="10"/>
      <c r="D21" s="9" t="s">
        <v>0</v>
      </c>
      <c r="E21" s="9" t="s">
        <v>5</v>
      </c>
      <c r="F21" s="9" t="s">
        <v>16</v>
      </c>
      <c r="G21" s="9" t="s">
        <v>6</v>
      </c>
      <c r="H21" s="9" t="s">
        <v>7</v>
      </c>
      <c r="I21" s="9" t="s">
        <v>14</v>
      </c>
      <c r="J21" s="9" t="s">
        <v>15</v>
      </c>
      <c r="K21" s="9" t="s">
        <v>8</v>
      </c>
      <c r="L21" s="9" t="s">
        <v>9</v>
      </c>
      <c r="M21" s="9" t="s">
        <v>10</v>
      </c>
      <c r="N21" s="9" t="s">
        <v>17</v>
      </c>
      <c r="O21" s="9" t="s">
        <v>12</v>
      </c>
      <c r="P21" s="9" t="s">
        <v>11</v>
      </c>
      <c r="Q21" s="9" t="s">
        <v>13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10" t="s">
        <v>21</v>
      </c>
      <c r="B22" s="10"/>
      <c r="C22" s="10"/>
      <c r="D22" s="9" t="s">
        <v>22</v>
      </c>
      <c r="E22" s="9">
        <v>16</v>
      </c>
      <c r="F22" s="9">
        <v>46</v>
      </c>
      <c r="G22" s="9">
        <v>33</v>
      </c>
      <c r="H22" s="9">
        <v>43</v>
      </c>
      <c r="I22" s="9">
        <v>46</v>
      </c>
      <c r="J22" s="3">
        <f t="shared" ref="J22:J23" si="22">(G22+H22)/I22</f>
        <v>1.6521739130434783</v>
      </c>
      <c r="K22" s="9">
        <v>24419</v>
      </c>
      <c r="L22" s="9">
        <v>26048</v>
      </c>
      <c r="M22" s="9">
        <f t="shared" ref="M22:M23" si="23">K22-L22</f>
        <v>-1629</v>
      </c>
      <c r="N22" s="8">
        <f t="shared" ref="N22:N23" si="24">K22/F22</f>
        <v>530.8478260869565</v>
      </c>
      <c r="O22" s="6">
        <v>0.58699999999999997</v>
      </c>
      <c r="P22" s="6">
        <v>0.51900000000000002</v>
      </c>
      <c r="Q22" s="6">
        <v>7.0999999999999994E-2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10"/>
      <c r="B23" s="10"/>
      <c r="C23" s="10"/>
      <c r="D23" s="9" t="s">
        <v>4</v>
      </c>
      <c r="E23" s="9">
        <v>11</v>
      </c>
      <c r="F23" s="9">
        <v>46</v>
      </c>
      <c r="G23" s="9">
        <v>50</v>
      </c>
      <c r="H23" s="9">
        <v>62</v>
      </c>
      <c r="I23" s="9">
        <v>44</v>
      </c>
      <c r="J23" s="3">
        <f t="shared" si="22"/>
        <v>2.5454545454545454</v>
      </c>
      <c r="K23" s="9">
        <v>28602</v>
      </c>
      <c r="L23" s="9">
        <v>28168</v>
      </c>
      <c r="M23" s="9">
        <f t="shared" si="23"/>
        <v>434</v>
      </c>
      <c r="N23" s="8">
        <f t="shared" si="24"/>
        <v>621.78260869565213</v>
      </c>
      <c r="O23" s="6">
        <v>0.45700000000000002</v>
      </c>
      <c r="P23" s="6">
        <v>0.47599999999999998</v>
      </c>
      <c r="Q23" s="6">
        <v>0.3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10"/>
      <c r="B24" s="10"/>
      <c r="C24" s="10"/>
      <c r="D24" s="9" t="s">
        <v>23</v>
      </c>
      <c r="E24" s="2">
        <f t="shared" ref="E24" si="25">E23-E22</f>
        <v>-5</v>
      </c>
      <c r="F24" s="2">
        <f t="shared" ref="F24:Q24" si="26">F22-F23</f>
        <v>0</v>
      </c>
      <c r="G24" s="2">
        <f t="shared" si="26"/>
        <v>-17</v>
      </c>
      <c r="H24" s="2">
        <f t="shared" si="26"/>
        <v>-19</v>
      </c>
      <c r="I24" s="5">
        <f t="shared" si="26"/>
        <v>2</v>
      </c>
      <c r="J24" s="4">
        <f t="shared" si="26"/>
        <v>-0.89328063241106714</v>
      </c>
      <c r="K24" s="2">
        <f t="shared" si="26"/>
        <v>-4183</v>
      </c>
      <c r="L24" s="5">
        <f t="shared" si="26"/>
        <v>-2120</v>
      </c>
      <c r="M24" s="2">
        <f t="shared" si="26"/>
        <v>-2063</v>
      </c>
      <c r="N24" s="4">
        <f t="shared" si="26"/>
        <v>-90.934782608695627</v>
      </c>
      <c r="O24" s="7">
        <f t="shared" si="26"/>
        <v>0.12999999999999995</v>
      </c>
      <c r="P24" s="7">
        <f t="shared" si="26"/>
        <v>4.3000000000000038E-2</v>
      </c>
      <c r="Q24" s="7">
        <f t="shared" si="26"/>
        <v>-0.22899999999999998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10" t="s">
        <v>1</v>
      </c>
      <c r="B25" s="10"/>
      <c r="C25" s="10"/>
      <c r="D25" s="1" t="s">
        <v>0</v>
      </c>
      <c r="E25" s="1" t="s">
        <v>5</v>
      </c>
      <c r="F25" s="1" t="s">
        <v>16</v>
      </c>
      <c r="G25" s="1" t="s">
        <v>6</v>
      </c>
      <c r="H25" s="1" t="s">
        <v>7</v>
      </c>
      <c r="I25" s="1" t="s">
        <v>14</v>
      </c>
      <c r="J25" s="1" t="s">
        <v>15</v>
      </c>
      <c r="K25" s="1" t="s">
        <v>8</v>
      </c>
      <c r="L25" s="1" t="s">
        <v>9</v>
      </c>
      <c r="M25" s="1" t="s">
        <v>10</v>
      </c>
      <c r="N25" s="1" t="s">
        <v>17</v>
      </c>
      <c r="O25" s="1" t="s">
        <v>12</v>
      </c>
      <c r="P25" s="1" t="s">
        <v>11</v>
      </c>
      <c r="Q25" s="1" t="s">
        <v>13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0" t="s">
        <v>24</v>
      </c>
      <c r="B26" s="10"/>
      <c r="C26" s="10"/>
      <c r="D26" s="9" t="s">
        <v>22</v>
      </c>
      <c r="E26" s="1">
        <v>21</v>
      </c>
      <c r="F26" s="1">
        <v>36</v>
      </c>
      <c r="G26" s="1">
        <v>22</v>
      </c>
      <c r="H26" s="1">
        <v>35</v>
      </c>
      <c r="I26" s="1">
        <v>35</v>
      </c>
      <c r="J26" s="3">
        <f t="shared" ref="J26:J27" si="27">(G26+H26)/I26</f>
        <v>1.6285714285714286</v>
      </c>
      <c r="K26" s="1">
        <v>14824</v>
      </c>
      <c r="L26" s="1">
        <v>15701</v>
      </c>
      <c r="M26" s="1">
        <f t="shared" ref="M26:M27" si="28">K26-L26</f>
        <v>-877</v>
      </c>
      <c r="N26" s="8">
        <f t="shared" ref="N26:N27" si="29">K26/F26</f>
        <v>411.77777777777777</v>
      </c>
      <c r="O26" s="6">
        <v>0.5</v>
      </c>
      <c r="P26" s="6">
        <v>0.38900000000000001</v>
      </c>
      <c r="Q26" s="6">
        <v>0.14299999999999999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0"/>
      <c r="B27" s="10"/>
      <c r="C27" s="10"/>
      <c r="D27" s="9" t="s">
        <v>25</v>
      </c>
      <c r="E27" s="9">
        <v>4</v>
      </c>
      <c r="F27" s="9">
        <v>42</v>
      </c>
      <c r="G27" s="9">
        <v>41</v>
      </c>
      <c r="H27" s="9">
        <v>65</v>
      </c>
      <c r="I27" s="9">
        <v>38</v>
      </c>
      <c r="J27" s="3">
        <f t="shared" si="27"/>
        <v>2.7894736842105261</v>
      </c>
      <c r="K27" s="9">
        <v>23749</v>
      </c>
      <c r="L27" s="9">
        <v>22209</v>
      </c>
      <c r="M27" s="9">
        <v>1540</v>
      </c>
      <c r="N27" s="8">
        <f t="shared" si="29"/>
        <v>565.45238095238096</v>
      </c>
      <c r="O27" s="6">
        <v>0.66700000000000004</v>
      </c>
      <c r="P27" s="6">
        <v>0.57099999999999995</v>
      </c>
      <c r="Q27" s="6">
        <v>0.313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0"/>
      <c r="B28" s="10"/>
      <c r="C28" s="10"/>
      <c r="D28" s="9" t="s">
        <v>23</v>
      </c>
      <c r="E28" s="2">
        <f t="shared" ref="E28" si="30">E27-E26</f>
        <v>-17</v>
      </c>
      <c r="F28" s="2">
        <f t="shared" ref="F28:G28" si="31">F26-F27</f>
        <v>-6</v>
      </c>
      <c r="G28" s="2">
        <f t="shared" si="31"/>
        <v>-19</v>
      </c>
      <c r="H28" s="2">
        <f t="shared" ref="H28:I28" si="32">H26-H27</f>
        <v>-30</v>
      </c>
      <c r="I28" s="5">
        <f t="shared" si="32"/>
        <v>-3</v>
      </c>
      <c r="J28" s="4">
        <f t="shared" ref="J28" si="33">J26-J27</f>
        <v>-1.1609022556390975</v>
      </c>
      <c r="K28" s="2">
        <f t="shared" ref="K28:L28" si="34">K26-K27</f>
        <v>-8925</v>
      </c>
      <c r="L28" s="5">
        <f t="shared" si="34"/>
        <v>-6508</v>
      </c>
      <c r="M28" s="2">
        <f t="shared" ref="M28:N28" si="35">M26-M27</f>
        <v>-2417</v>
      </c>
      <c r="N28" s="4">
        <f t="shared" si="35"/>
        <v>-153.67460317460319</v>
      </c>
      <c r="O28" s="7">
        <f t="shared" ref="O28" si="36">O26-O27</f>
        <v>-0.16700000000000004</v>
      </c>
      <c r="P28" s="7">
        <f t="shared" ref="P28" si="37">P26-P27</f>
        <v>-0.18199999999999994</v>
      </c>
      <c r="Q28" s="7">
        <f t="shared" ref="Q28" si="38">Q26-Q27</f>
        <v>-0.17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0"/>
      <c r="B29" s="10"/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10"/>
      <c r="B30" s="10"/>
      <c r="C30" s="10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10"/>
      <c r="B31" s="10"/>
      <c r="C31" s="10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10"/>
      <c r="B32" s="10"/>
      <c r="C32" s="10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10"/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10"/>
      <c r="B34" s="10"/>
      <c r="C34" s="10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10"/>
      <c r="B35" s="10"/>
      <c r="C35" s="10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10"/>
      <c r="B36" s="10"/>
      <c r="C36" s="10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10"/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10"/>
      <c r="B38" s="10"/>
      <c r="C38" s="10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10"/>
      <c r="B39" s="10"/>
      <c r="C39" s="10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10"/>
      <c r="B40" s="10"/>
      <c r="C40" s="10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10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41:C41"/>
    <mergeCell ref="A38:C40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14:C16"/>
    <mergeCell ref="A18:C20"/>
    <mergeCell ref="A22:C24"/>
    <mergeCell ref="A26:C28"/>
    <mergeCell ref="A30:C32"/>
    <mergeCell ref="A34:C36"/>
    <mergeCell ref="A1:C1"/>
    <mergeCell ref="A2:C4"/>
    <mergeCell ref="A6:C8"/>
    <mergeCell ref="A10:C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2026-03-29T08:37:50Z</dcterms:modified>
</cp:coreProperties>
</file>